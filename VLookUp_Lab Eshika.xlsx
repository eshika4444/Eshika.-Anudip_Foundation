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e4c637b705ec84/Documents/"/>
    </mc:Choice>
  </mc:AlternateContent>
  <xr:revisionPtr revIDLastSave="89" documentId="8_{BF522E12-1E07-4B4E-89F9-C3C5E96AE36B}" xr6:coauthVersionLast="47" xr6:coauthVersionMax="47" xr10:uidLastSave="{01118AF0-CF75-47F7-9FCD-40F29C829201}"/>
  <bookViews>
    <workbookView xWindow="11424" yWindow="0" windowWidth="11712" windowHeight="12336" activeTab="1" xr2:uid="{0F3B4CB6-82E5-401C-95F0-E68781636DBD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  <c r="L6" i="2"/>
  <c r="H3" i="2"/>
  <c r="H4" i="2"/>
  <c r="H5" i="2"/>
  <c r="H6" i="2"/>
  <c r="H7" i="2"/>
  <c r="H8" i="2"/>
  <c r="H2" i="2"/>
  <c r="G3" i="2"/>
  <c r="G4" i="2"/>
  <c r="G5" i="2"/>
  <c r="G6" i="2"/>
  <c r="G7" i="2"/>
  <c r="G8" i="2"/>
  <c r="G2" i="2"/>
  <c r="E3" i="2"/>
  <c r="F3" i="2" s="1"/>
  <c r="E4" i="2"/>
  <c r="F4" i="2" s="1"/>
  <c r="E5" i="2"/>
  <c r="F5" i="2" s="1"/>
  <c r="E6" i="2"/>
  <c r="F6" i="2" s="1"/>
  <c r="E7" i="2"/>
  <c r="F7" i="2" s="1"/>
  <c r="E2" i="2"/>
  <c r="F2" i="2" s="1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<sst xmlns="http://schemas.openxmlformats.org/spreadsheetml/2006/main" count="27" uniqueCount="26">
  <si>
    <t>ProductID</t>
  </si>
  <si>
    <t>Product</t>
  </si>
  <si>
    <t>Price</t>
  </si>
  <si>
    <t>ProductA</t>
  </si>
  <si>
    <t>ProductB</t>
  </si>
  <si>
    <t>ProductC</t>
  </si>
  <si>
    <t>OrderId</t>
  </si>
  <si>
    <t>ProductId</t>
  </si>
  <si>
    <t>Quantity</t>
  </si>
  <si>
    <t>TotalPrice</t>
  </si>
  <si>
    <t>ProductD</t>
  </si>
  <si>
    <t>ProductE</t>
  </si>
  <si>
    <t>ProductF</t>
  </si>
  <si>
    <t>Products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</si>
  <si>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</si>
  <si>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</si>
  <si>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</si>
  <si>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</si>
  <si>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</si>
  <si>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</si>
  <si>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</si>
  <si>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Prod.Present/Not</t>
  </si>
  <si>
    <t>Discounted Price</t>
  </si>
  <si>
    <t>Maximum order value</t>
  </si>
  <si>
    <t>ProductH</t>
  </si>
  <si>
    <t>Ordered/Not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</si>
</sst>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u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Border="1"/>
    <xf numFmtId="0" fontId="0" fillId="3" borderId="3" xfId="0" applyFill="1" applyBorder="1"/>
    <xf numFmtId="0" fontId="0" fillId="3" borderId="0" xfId="0" applyFill="1" applyBorder="1"/>
    <xf numFmtId="0" fontId="0" fillId="3" borderId="6" xfId="0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0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0" fillId="0" borderId="7" xfId="0" applyBorder="1"/>
    <xf numFmtId="0" fontId="0" fillId="0" borderId="1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5BD35-3E2E-4DC5-8E90-E4C78E4AE739}">
  <dimension ref="A1:D8"/>
  <sheetViews>
    <sheetView zoomScale="79" workbookViewId="0">
      <selection activeCell="D2" sqref="D2:D8"/>
    </sheetView>
  </sheetViews>
  <sheetFormatPr defaultRowHeight="14.4" x14ac:dyDescent="0.3"/>
  <cols>
    <col min="1" max="1" width="9.5546875" customWidth="1"/>
    <col min="4" max="4" width="18.441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25</v>
      </c>
    </row>
    <row r="2" spans="1:4" x14ac:dyDescent="0.3">
      <c r="A2" s="1">
        <v>101</v>
      </c>
      <c r="B2" s="1" t="s">
        <v>3</v>
      </c>
      <c r="C2" s="1">
        <v>120</v>
      </c>
      <c r="D2" s="1" t="str">
        <f>IF(ISNA(VLOOKUP(A2,Orders!$B$1:$B$8,1,0)),"Not Ordered","Ordered")</f>
        <v>Ordered</v>
      </c>
    </row>
    <row r="3" spans="1:4" x14ac:dyDescent="0.3">
      <c r="A3" s="1">
        <v>102</v>
      </c>
      <c r="B3" s="1" t="s">
        <v>4</v>
      </c>
      <c r="C3" s="1">
        <v>150</v>
      </c>
      <c r="D3" s="1" t="str">
        <f>IF(ISNA(VLOOKUP(A3,Orders!$B$1:$B$8,1,0)),"Not Ordered","Ordered")</f>
        <v>Ordered</v>
      </c>
    </row>
    <row r="4" spans="1:4" x14ac:dyDescent="0.3">
      <c r="A4" s="1">
        <v>103</v>
      </c>
      <c r="B4" s="1" t="s">
        <v>5</v>
      </c>
      <c r="C4" s="1">
        <v>200</v>
      </c>
      <c r="D4" s="1" t="str">
        <f>IF(ISNA(VLOOKUP(A4,Orders!$B$1:$B$8,1,0)),"Not Ordered","Ordered")</f>
        <v>Ordered</v>
      </c>
    </row>
    <row r="5" spans="1:4" x14ac:dyDescent="0.3">
      <c r="A5" s="1">
        <v>104</v>
      </c>
      <c r="B5" s="1" t="s">
        <v>10</v>
      </c>
      <c r="C5" s="1">
        <v>90</v>
      </c>
      <c r="D5" s="1" t="str">
        <f>IF(ISNA(VLOOKUP(A5,Orders!$B$1:$B$8,1,0)),"Not Ordered","Ordered")</f>
        <v>Ordered</v>
      </c>
    </row>
    <row r="6" spans="1:4" x14ac:dyDescent="0.3">
      <c r="A6" s="1">
        <v>105</v>
      </c>
      <c r="B6" s="1" t="s">
        <v>11</v>
      </c>
      <c r="C6" s="1">
        <v>220</v>
      </c>
      <c r="D6" s="1" t="str">
        <f>IF(ISNA(VLOOKUP(A6,Orders!$B$1:$B$8,1,0)),"Not Ordered","Ordered")</f>
        <v>Ordered</v>
      </c>
    </row>
    <row r="7" spans="1:4" x14ac:dyDescent="0.3">
      <c r="A7" s="1">
        <v>106</v>
      </c>
      <c r="B7" s="1" t="s">
        <v>12</v>
      </c>
      <c r="C7" s="1">
        <v>130</v>
      </c>
      <c r="D7" s="1" t="str">
        <f>IF(ISNA(VLOOKUP(A7,Orders!$B$1:$B$8,1,0)),"Not Ordered","Ordered")</f>
        <v>Ordered</v>
      </c>
    </row>
    <row r="8" spans="1:4" x14ac:dyDescent="0.3">
      <c r="A8" s="14">
        <v>108</v>
      </c>
      <c r="B8" s="14" t="s">
        <v>24</v>
      </c>
      <c r="C8" s="14">
        <v>20</v>
      </c>
      <c r="D8" s="1" t="str">
        <f>IF(ISNA(VLOOKUP(A8,Orders!$B$1:$B$8,1,0)),"Not Ordered","Ordered")</f>
        <v>Not Ordered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B8FC-F400-4055-840F-1FE65D98F806}">
  <dimension ref="A1:AP29"/>
  <sheetViews>
    <sheetView tabSelected="1" zoomScale="78" workbookViewId="0">
      <selection activeCell="O28" sqref="O28"/>
    </sheetView>
  </sheetViews>
  <sheetFormatPr defaultRowHeight="14.4" x14ac:dyDescent="0.3"/>
  <cols>
    <col min="4" max="4" width="10.21875" customWidth="1"/>
    <col min="6" max="6" width="9.109375" bestFit="1" customWidth="1"/>
    <col min="7" max="7" width="15.6640625" bestFit="1" customWidth="1"/>
    <col min="8" max="8" width="15" bestFit="1" customWidth="1"/>
    <col min="11" max="11" width="18.33203125" bestFit="1" customWidth="1"/>
    <col min="14" max="14" width="11.109375" customWidth="1"/>
    <col min="28" max="28" width="55" customWidth="1"/>
  </cols>
  <sheetData>
    <row r="1" spans="1:12" x14ac:dyDescent="0.3">
      <c r="A1" s="2" t="s">
        <v>6</v>
      </c>
      <c r="B1" s="2" t="s">
        <v>7</v>
      </c>
      <c r="C1" s="2" t="s">
        <v>8</v>
      </c>
      <c r="D1" s="2" t="s">
        <v>13</v>
      </c>
      <c r="E1" s="2" t="s">
        <v>2</v>
      </c>
      <c r="F1" s="2" t="s">
        <v>9</v>
      </c>
      <c r="G1" s="2" t="s">
        <v>21</v>
      </c>
      <c r="H1" s="2" t="s">
        <v>22</v>
      </c>
      <c r="I1" s="3"/>
    </row>
    <row r="2" spans="1:12" x14ac:dyDescent="0.3">
      <c r="A2" s="1">
        <v>1</v>
      </c>
      <c r="B2" s="1">
        <v>101</v>
      </c>
      <c r="C2" s="1">
        <v>2</v>
      </c>
      <c r="D2" s="1" t="str">
        <f>VLOOKUP(B2,Products!$A$1:$C$7,2,0)</f>
        <v>ProductA</v>
      </c>
      <c r="E2" s="1">
        <f>VLOOKUP(B2,Products!$A$1:$C$7,3,0)</f>
        <v>120</v>
      </c>
      <c r="F2" s="1">
        <f>C2*E2</f>
        <v>240</v>
      </c>
      <c r="G2" s="1" t="str">
        <f>IF(ISNA(VLOOKUP(B2,Products!$A$1:$A$7,1,0)),"No","Yes")</f>
        <v>Yes</v>
      </c>
      <c r="H2" s="1">
        <f>E2-E2*10%</f>
        <v>108</v>
      </c>
      <c r="I2" s="3"/>
    </row>
    <row r="3" spans="1:12" x14ac:dyDescent="0.3">
      <c r="A3" s="1">
        <v>2</v>
      </c>
      <c r="B3" s="1">
        <v>103</v>
      </c>
      <c r="C3" s="1">
        <v>1</v>
      </c>
      <c r="D3" s="1" t="str">
        <f>VLOOKUP(B3,Products!$A$1:$C$7,2,0)</f>
        <v>ProductC</v>
      </c>
      <c r="E3" s="1">
        <f>VLOOKUP(B3,Products!$A$1:$C$7,3,0)</f>
        <v>200</v>
      </c>
      <c r="F3" s="1">
        <f t="shared" ref="F3:F7" si="0">C3*E3</f>
        <v>200</v>
      </c>
      <c r="G3" s="1" t="str">
        <f>IF(ISNA(VLOOKUP(B3,Products!$A$1:$A$7,1,0)),"No","Yes")</f>
        <v>Yes</v>
      </c>
      <c r="H3" s="1">
        <f t="shared" ref="H3:H8" si="1">E3-E3*10%</f>
        <v>180</v>
      </c>
      <c r="I3" s="3"/>
    </row>
    <row r="4" spans="1:12" x14ac:dyDescent="0.3">
      <c r="A4" s="1">
        <v>3</v>
      </c>
      <c r="B4" s="1">
        <v>105</v>
      </c>
      <c r="C4" s="1">
        <v>4</v>
      </c>
      <c r="D4" s="1" t="str">
        <f>VLOOKUP(B4,Products!$A$1:$C$7,2,0)</f>
        <v>ProductE</v>
      </c>
      <c r="E4" s="1">
        <f>VLOOKUP(B4,Products!$A$1:$C$7,3,0)</f>
        <v>220</v>
      </c>
      <c r="F4" s="1">
        <f t="shared" si="0"/>
        <v>880</v>
      </c>
      <c r="G4" s="1" t="str">
        <f>IF(ISNA(VLOOKUP(B4,Products!$A$1:$A$7,1,0)),"No","Yes")</f>
        <v>Yes</v>
      </c>
      <c r="H4" s="1">
        <f t="shared" si="1"/>
        <v>198</v>
      </c>
      <c r="I4" s="3"/>
    </row>
    <row r="5" spans="1:12" x14ac:dyDescent="0.3">
      <c r="A5" s="1">
        <v>4</v>
      </c>
      <c r="B5" s="1">
        <v>106</v>
      </c>
      <c r="C5" s="1">
        <v>3</v>
      </c>
      <c r="D5" s="1" t="str">
        <f>VLOOKUP(B5,Products!$A$1:$C$7,2,0)</f>
        <v>ProductF</v>
      </c>
      <c r="E5" s="1">
        <f>VLOOKUP(B5,Products!$A$1:$C$7,3,0)</f>
        <v>130</v>
      </c>
      <c r="F5" s="1">
        <f t="shared" si="0"/>
        <v>390</v>
      </c>
      <c r="G5" s="1" t="str">
        <f>IF(ISNA(VLOOKUP(B5,Products!$A$1:$A$7,1,0)),"No","Yes")</f>
        <v>Yes</v>
      </c>
      <c r="H5" s="1">
        <f t="shared" si="1"/>
        <v>117</v>
      </c>
      <c r="I5" s="3"/>
    </row>
    <row r="6" spans="1:12" x14ac:dyDescent="0.3">
      <c r="A6" s="1">
        <v>5</v>
      </c>
      <c r="B6" s="1">
        <v>102</v>
      </c>
      <c r="C6" s="1">
        <v>5</v>
      </c>
      <c r="D6" s="1" t="str">
        <f>VLOOKUP(B6,Products!$A$1:$C$7,2,0)</f>
        <v>ProductB</v>
      </c>
      <c r="E6" s="1">
        <f>VLOOKUP(B6,Products!$A$1:$C$7,3,0)</f>
        <v>150</v>
      </c>
      <c r="F6" s="1">
        <f t="shared" si="0"/>
        <v>750</v>
      </c>
      <c r="G6" s="1" t="str">
        <f>IF(ISNA(VLOOKUP(B6,Products!$A$1:$A$7,1,0)),"No","Yes")</f>
        <v>Yes</v>
      </c>
      <c r="H6" s="1">
        <f t="shared" si="1"/>
        <v>135</v>
      </c>
      <c r="I6" s="3"/>
      <c r="K6" s="1" t="s">
        <v>23</v>
      </c>
      <c r="L6" s="1">
        <f>MAX(F2:F7)</f>
        <v>880</v>
      </c>
    </row>
    <row r="7" spans="1:12" x14ac:dyDescent="0.3">
      <c r="A7" s="13">
        <v>6</v>
      </c>
      <c r="B7" s="13">
        <v>104</v>
      </c>
      <c r="C7" s="13">
        <v>6</v>
      </c>
      <c r="D7" s="13" t="str">
        <f>VLOOKUP(B7,Products!$A$1:$C$7,2,0)</f>
        <v>ProductD</v>
      </c>
      <c r="E7" s="13">
        <f>VLOOKUP(B7,Products!$A$1:$C$7,3,0)</f>
        <v>90</v>
      </c>
      <c r="F7" s="13">
        <f t="shared" si="0"/>
        <v>540</v>
      </c>
      <c r="G7" s="1" t="str">
        <f>IF(ISNA(VLOOKUP(B7,Products!$A$1:$A$7,1,0)),"No","Yes")</f>
        <v>Yes</v>
      </c>
      <c r="H7" s="1">
        <f t="shared" si="1"/>
        <v>81</v>
      </c>
      <c r="I7" s="3"/>
    </row>
    <row r="8" spans="1:12" x14ac:dyDescent="0.3">
      <c r="A8" s="14">
        <v>7</v>
      </c>
      <c r="B8" s="14">
        <v>107</v>
      </c>
      <c r="C8" s="1"/>
      <c r="D8" s="1"/>
      <c r="E8" s="1"/>
      <c r="F8" s="1"/>
      <c r="G8" s="1" t="str">
        <f>IF(ISNA(VLOOKUP(B8,Products!$A$1:$A$7,1,0)),"No","Yes")</f>
        <v>No</v>
      </c>
      <c r="H8" s="1">
        <f t="shared" si="1"/>
        <v>0</v>
      </c>
      <c r="I8" s="3"/>
    </row>
    <row r="17" spans="13:42" ht="21" x14ac:dyDescent="0.4">
      <c r="M17" s="7" t="s">
        <v>14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4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8" spans="13:42" ht="21" x14ac:dyDescent="0.4"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</row>
    <row r="19" spans="13:42" ht="21" x14ac:dyDescent="0.4">
      <c r="M19" s="9" t="s">
        <v>15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</row>
    <row r="20" spans="13:42" ht="21" x14ac:dyDescent="0.4"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</row>
    <row r="21" spans="13:42" ht="21" x14ac:dyDescent="0.4">
      <c r="M21" s="9" t="s">
        <v>16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</row>
    <row r="22" spans="13:42" ht="21" x14ac:dyDescent="0.4"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</row>
    <row r="23" spans="13:42" ht="21" x14ac:dyDescent="0.4">
      <c r="M23" s="9" t="s">
        <v>17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</row>
    <row r="24" spans="13:42" ht="21" x14ac:dyDescent="0.4"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</row>
    <row r="25" spans="13:42" ht="21" x14ac:dyDescent="0.4">
      <c r="M25" s="9" t="s">
        <v>18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</row>
    <row r="26" spans="13:42" ht="21" x14ac:dyDescent="0.4"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</row>
    <row r="27" spans="13:42" ht="21" x14ac:dyDescent="0.4">
      <c r="M27" s="9" t="s">
        <v>19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</row>
    <row r="28" spans="13:42" ht="21" x14ac:dyDescent="0.4"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</row>
    <row r="29" spans="13:42" ht="21" x14ac:dyDescent="0.4">
      <c r="M29" s="11" t="s">
        <v>20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6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GHOSH</dc:creator>
  <cp:lastModifiedBy>AKASH GHOSH</cp:lastModifiedBy>
  <dcterms:created xsi:type="dcterms:W3CDTF">2026-03-09T07:07:31Z</dcterms:created>
  <dcterms:modified xsi:type="dcterms:W3CDTF">2026-03-09T08:22:43Z</dcterms:modified>
</cp:coreProperties>
</file>